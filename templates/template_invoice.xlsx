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G:\My Drive\2026\2. KERMA 2026\23. TAGIHAN PKT Tahap 3\"/>
    </mc:Choice>
  </mc:AlternateContent>
  <xr:revisionPtr revIDLastSave="0" documentId="13_ncr:1_{7C6C86C8-76EE-4C62-8C3C-2B0C3AEA992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3" sheetId="3" r:id="rId2"/>
  </sheets>
  <definedNames>
    <definedName name="_xlnm.Print_Area" localSheetId="0">Sheet1!$A$1:$N$45</definedName>
    <definedName name="_xlnm.Print_Area" localSheetId="1">Sheet3!$A$1:$O$44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3" l="1"/>
  <c r="L31" i="3" s="1"/>
  <c r="L33" i="3" s="1"/>
  <c r="K25" i="1" l="1"/>
  <c r="L31" i="1" s="1"/>
  <c r="L33" i="1" s="1"/>
</calcChain>
</file>

<file path=xl/sharedStrings.xml><?xml version="1.0" encoding="utf-8"?>
<sst xmlns="http://schemas.openxmlformats.org/spreadsheetml/2006/main" count="114" uniqueCount="65">
  <si>
    <t>Institut Teknologi Bandung</t>
  </si>
  <si>
    <t>KUITANSI</t>
  </si>
  <si>
    <t>Sekolah Bisnis dan Manajemen</t>
  </si>
  <si>
    <t xml:space="preserve">Jl. Ganesa No. 10, Gedung Sekolah Bisnis dan Manajemen Bandung 40132                                                                                                                                         Telp : +6222 2531923, Fax : +6222 2504249 www.sbm.itb.ac.id      </t>
  </si>
  <si>
    <t xml:space="preserve">  Pelanggan </t>
  </si>
  <si>
    <t xml:space="preserve">  Keterangan</t>
  </si>
  <si>
    <t xml:space="preserve">  Nama</t>
  </si>
  <si>
    <t>:</t>
  </si>
  <si>
    <t xml:space="preserve">  Tanggal</t>
  </si>
  <si>
    <t xml:space="preserve">  Alamat</t>
  </si>
  <si>
    <t xml:space="preserve">  No. DO/Kontrak</t>
  </si>
  <si>
    <t xml:space="preserve">  Mata Uang</t>
  </si>
  <si>
    <t>Rupiah</t>
  </si>
  <si>
    <t xml:space="preserve">  Telepon</t>
  </si>
  <si>
    <t xml:space="preserve">  Attn</t>
  </si>
  <si>
    <t>No</t>
  </si>
  <si>
    <t>Keterangan</t>
  </si>
  <si>
    <t>Jumlah</t>
  </si>
  <si>
    <t>Satuan</t>
  </si>
  <si>
    <t>Harga Satuan</t>
  </si>
  <si>
    <t>Harga</t>
  </si>
  <si>
    <t>paket</t>
  </si>
  <si>
    <t xml:space="preserve">  Terbilang</t>
  </si>
  <si>
    <t xml:space="preserve">  Sub-Total </t>
  </si>
  <si>
    <t xml:space="preserve">  Lain-lain</t>
  </si>
  <si>
    <t xml:space="preserve">  Total     </t>
  </si>
  <si>
    <t xml:space="preserve">  Pembayaran</t>
  </si>
  <si>
    <t xml:space="preserve">SBM - ITB </t>
  </si>
  <si>
    <t>Bank</t>
  </si>
  <si>
    <t>Cabang</t>
  </si>
  <si>
    <t>PERGURUAN TINGGI BANDUNG</t>
  </si>
  <si>
    <t>090 110 2012</t>
  </si>
  <si>
    <t>Atas Nama</t>
  </si>
  <si>
    <t>Prof. Tjandra Anggraeni, Ph.D.</t>
  </si>
  <si>
    <t>Wakil Dekan Bidang Sumber Daya</t>
  </si>
  <si>
    <t>PT Freeport Indonesia</t>
  </si>
  <si>
    <t>7 Februari 2025</t>
  </si>
  <si>
    <t>Jl. H.R Rasuna Said Kav X-7 No.6,</t>
  </si>
  <si>
    <t xml:space="preserve">JK2400086-001-000-000 </t>
  </si>
  <si>
    <t xml:space="preserve"> Plaza 80 Lt. 5, Setiabudi, Jakarta Selatan</t>
  </si>
  <si>
    <t>34/IT1.C09/SPK/2024</t>
  </si>
  <si>
    <t>+62212591818</t>
  </si>
  <si>
    <t>Bapak Lukman Budi Prasetya</t>
  </si>
  <si>
    <t>Program Magister Administrasi Bisnis</t>
  </si>
  <si>
    <t>PT Freeport Indonesia Tahun Akademik 2024/2025</t>
  </si>
  <si>
    <t>PT. Bank Negara Indonesia (Persero)</t>
  </si>
  <si>
    <t>No Rekening</t>
  </si>
  <si>
    <t>PENAMPUNGAN - PPM SBM</t>
  </si>
  <si>
    <t xml:space="preserve">    NO. 822/IT1.C09.2/KU/2025</t>
  </si>
  <si>
    <t xml:space="preserve">Pembayaran Biaya Pendaftaran </t>
  </si>
  <si>
    <t>#Dua Puluh enam juta dua ratus lima puluh ribu rupiah#</t>
  </si>
  <si>
    <t xml:space="preserve">Biaya Penyelenggaraan Pendidikan Program Studi </t>
  </si>
  <si>
    <t>Tahun Akademik 2025/2026</t>
  </si>
  <si>
    <t>PT Pupuk Kalimantan Timur</t>
  </si>
  <si>
    <t>Jalan James Simanjuntak No 1 Bontang</t>
  </si>
  <si>
    <t>Kalimantan Timur – Indonesia</t>
  </si>
  <si>
    <t xml:space="preserve">27/IT.1C09/SPK/2025 </t>
  </si>
  <si>
    <t xml:space="preserve">Magister Administrasi Bisnis PT Pupuk Kalimantan Timur Batch 1 </t>
  </si>
  <si>
    <t>#dua ratus delapan puluh juta rupiah#</t>
  </si>
  <si>
    <t>Prof. Donald Crestofel Lantu, S.T., M.B.A., Ph.D.</t>
  </si>
  <si>
    <t>NIP 19760925 201012 1 001</t>
  </si>
  <si>
    <t>00266/D/HK/D61200/SP/2025</t>
  </si>
  <si>
    <t xml:space="preserve">    NO. 37/IT1.C09.2/KU/2026</t>
  </si>
  <si>
    <t>Pembayaran Tahap 3</t>
  </si>
  <si>
    <t>3 Agustus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</si>
</sst>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p-421]#,##0_);\([$Rp-421]#,##0\)"/>
    <numFmt numFmtId="165" formatCode="_(&quot;Rp&quot;* #,##0_);_(&quot;Rp&quot;* \(#,##0\);_(&quot;Rp&quot;* &quot;-&quot;_);_(@_)"/>
  </numFmts>
  <fonts count="13" x14ac:knownFonts="1">
    <font>
      <sz val="10"/>
      <color rgb="FF000000"/>
      <name val="Arial"/>
      <scheme val="minor"/>
    </font>
    <font>
      <sz val="9"/>
      <color theme="1"/>
      <name val="Arial"/>
      <family val="2"/>
    </font>
    <font>
      <sz val="10"/>
      <name val="Arial"/>
      <family val="2"/>
    </font>
    <font>
      <sz val="9"/>
      <color rgb="FF000080"/>
      <name val="Arial"/>
      <family val="2"/>
    </font>
    <font>
      <sz val="12"/>
      <color rgb="FF000080"/>
      <name val="Arial"/>
      <family val="2"/>
    </font>
    <font>
      <b/>
      <sz val="14"/>
      <color rgb="FF000080"/>
      <name val="Arial"/>
      <family val="2"/>
    </font>
    <font>
      <sz val="9"/>
      <color rgb="FF000080"/>
      <name val="Verdana"/>
      <family val="2"/>
    </font>
    <font>
      <sz val="14"/>
      <color rgb="FF000080"/>
      <name val="Verdana"/>
      <family val="2"/>
    </font>
    <font>
      <sz val="7"/>
      <color rgb="FF000080"/>
      <name val="Arial"/>
      <family val="2"/>
    </font>
    <font>
      <b/>
      <sz val="9"/>
      <color rgb="FF000080"/>
      <name val="Arial"/>
      <family val="2"/>
    </font>
    <font>
      <u/>
      <sz val="9"/>
      <color theme="10"/>
      <name val="Arial"/>
      <family val="2"/>
    </font>
    <font>
      <b/>
      <i/>
      <sz val="9"/>
      <color rgb="FF000080"/>
      <name val="Arial"/>
      <family val="2"/>
    </font>
    <font>
      <i/>
      <sz val="9"/>
      <color rgb="FF000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0" borderId="0" xfId="0" applyFont="1"/>
    <xf numFmtId="0" fontId="2" fillId="0" borderId="8" xfId="0" applyFont="1" applyBorder="1"/>
    <xf numFmtId="0" fontId="3" fillId="0" borderId="8" xfId="0" applyFont="1" applyBorder="1"/>
    <xf numFmtId="0" fontId="3" fillId="0" borderId="33" xfId="0" applyFont="1" applyBorder="1"/>
    <xf numFmtId="0" fontId="4" fillId="0" borderId="33" xfId="0" applyFont="1" applyBorder="1"/>
    <xf numFmtId="0" fontId="2" fillId="0" borderId="33" xfId="0" applyFont="1" applyBorder="1"/>
    <xf numFmtId="0" fontId="6" fillId="0" borderId="33" xfId="0" applyFont="1" applyBorder="1"/>
    <xf numFmtId="0" fontId="7" fillId="0" borderId="33" xfId="0" applyFont="1" applyBorder="1" applyAlignment="1">
      <alignment vertical="center"/>
    </xf>
    <xf numFmtId="0" fontId="6" fillId="0" borderId="33" xfId="0" applyFont="1" applyBorder="1" applyAlignment="1">
      <alignment vertical="center"/>
    </xf>
    <xf numFmtId="0" fontId="3" fillId="0" borderId="33" xfId="0" applyFont="1" applyBorder="1" applyAlignment="1">
      <alignment horizontal="center"/>
    </xf>
    <xf numFmtId="0" fontId="9" fillId="0" borderId="5" xfId="0" applyFont="1" applyBorder="1"/>
    <xf numFmtId="0" fontId="2" fillId="0" borderId="6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0" xfId="0" applyFont="1" applyAlignment="1">
      <alignment horizontal="left"/>
    </xf>
    <xf numFmtId="15" fontId="3" fillId="0" borderId="0" xfId="0" applyNumberFormat="1" applyFont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9" fillId="0" borderId="12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165" fontId="3" fillId="0" borderId="19" xfId="0" applyNumberFormat="1" applyFont="1" applyBorder="1" applyAlignment="1">
      <alignment horizontal="center"/>
    </xf>
    <xf numFmtId="165" fontId="3" fillId="0" borderId="20" xfId="0" applyNumberFormat="1" applyFont="1" applyBorder="1" applyAlignment="1">
      <alignment horizontal="center"/>
    </xf>
    <xf numFmtId="165" fontId="3" fillId="0" borderId="21" xfId="0" applyNumberFormat="1" applyFont="1" applyBorder="1" applyAlignment="1">
      <alignment horizontal="right"/>
    </xf>
    <xf numFmtId="165" fontId="3" fillId="0" borderId="22" xfId="0" applyNumberFormat="1" applyFont="1" applyBorder="1" applyAlignment="1">
      <alignment horizontal="right"/>
    </xf>
    <xf numFmtId="165" fontId="3" fillId="0" borderId="23" xfId="0" applyNumberFormat="1" applyFont="1" applyBorder="1" applyAlignment="1">
      <alignment horizontal="right"/>
    </xf>
    <xf numFmtId="0" fontId="3" fillId="0" borderId="19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3" fillId="0" borderId="18" xfId="0" applyFont="1" applyBorder="1" applyAlignment="1">
      <alignment horizontal="right"/>
    </xf>
    <xf numFmtId="4" fontId="3" fillId="0" borderId="19" xfId="0" applyNumberFormat="1" applyFont="1" applyBorder="1" applyAlignment="1">
      <alignment horizontal="right"/>
    </xf>
    <xf numFmtId="4" fontId="3" fillId="0" borderId="20" xfId="0" applyNumberFormat="1" applyFont="1" applyBorder="1" applyAlignment="1">
      <alignment horizontal="right"/>
    </xf>
    <xf numFmtId="3" fontId="3" fillId="0" borderId="19" xfId="0" applyNumberFormat="1" applyFont="1" applyBorder="1" applyAlignment="1">
      <alignment horizontal="right"/>
    </xf>
    <xf numFmtId="3" fontId="3" fillId="0" borderId="11" xfId="0" applyNumberFormat="1" applyFont="1" applyBorder="1" applyAlignment="1">
      <alignment horizontal="right"/>
    </xf>
    <xf numFmtId="3" fontId="3" fillId="0" borderId="20" xfId="0" applyNumberFormat="1" applyFont="1" applyBorder="1" applyAlignment="1">
      <alignment horizontal="right"/>
    </xf>
    <xf numFmtId="0" fontId="9" fillId="0" borderId="33" xfId="0" applyFont="1" applyBorder="1"/>
    <xf numFmtId="4" fontId="3" fillId="0" borderId="25" xfId="0" applyNumberFormat="1" applyFont="1" applyBorder="1"/>
    <xf numFmtId="4" fontId="3" fillId="0" borderId="22" xfId="0" applyNumberFormat="1" applyFont="1" applyBorder="1"/>
    <xf numFmtId="4" fontId="9" fillId="0" borderId="14" xfId="0" applyNumberFormat="1" applyFont="1" applyBorder="1"/>
    <xf numFmtId="0" fontId="9" fillId="0" borderId="7" xfId="0" applyFont="1" applyBorder="1"/>
    <xf numFmtId="0" fontId="3" fillId="0" borderId="27" xfId="0" applyFont="1" applyBorder="1"/>
    <xf numFmtId="0" fontId="3" fillId="0" borderId="22" xfId="0" applyFont="1" applyBorder="1"/>
    <xf numFmtId="0" fontId="3" fillId="0" borderId="31" xfId="0" applyFont="1" applyBorder="1"/>
    <xf numFmtId="0" fontId="9" fillId="0" borderId="0" xfId="0" applyFont="1"/>
    <xf numFmtId="0" fontId="3" fillId="0" borderId="32" xfId="0" applyFont="1" applyBorder="1"/>
    <xf numFmtId="0" fontId="3" fillId="0" borderId="24" xfId="0" applyFont="1" applyBorder="1"/>
    <xf numFmtId="0" fontId="9" fillId="0" borderId="0" xfId="0" applyFont="1" applyAlignment="1">
      <alignment horizontal="left"/>
    </xf>
    <xf numFmtId="0" fontId="12" fillId="0" borderId="33" xfId="0" applyFont="1" applyBorder="1" applyAlignment="1">
      <alignment vertical="center" wrapText="1"/>
    </xf>
    <xf numFmtId="0" fontId="3" fillId="0" borderId="34" xfId="0" applyFont="1" applyBorder="1"/>
    <xf numFmtId="0" fontId="3" fillId="0" borderId="10" xfId="0" applyFont="1" applyBorder="1"/>
    <xf numFmtId="0" fontId="3" fillId="0" borderId="28" xfId="0" applyFont="1" applyBorder="1"/>
    <xf numFmtId="0" fontId="2" fillId="0" borderId="11" xfId="0" applyFont="1" applyBorder="1"/>
    <xf numFmtId="0" fontId="2" fillId="0" borderId="20" xfId="0" applyFont="1" applyBorder="1"/>
    <xf numFmtId="0" fontId="9" fillId="0" borderId="0" xfId="0" quotePrefix="1" applyFont="1"/>
    <xf numFmtId="0" fontId="3" fillId="0" borderId="30" xfId="0" applyFont="1" applyBorder="1" applyAlignment="1">
      <alignment horizontal="center"/>
    </xf>
    <xf numFmtId="0" fontId="2" fillId="0" borderId="24" xfId="0" applyFont="1" applyBorder="1"/>
    <xf numFmtId="0" fontId="2" fillId="0" borderId="6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5" fillId="0" borderId="33" xfId="0" applyFont="1" applyBorder="1" applyAlignment="1">
      <alignment horizontal="center"/>
    </xf>
    <xf numFmtId="0" fontId="2" fillId="0" borderId="33" xfId="0" applyFont="1" applyBorder="1"/>
    <xf numFmtId="0" fontId="8" fillId="0" borderId="33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2" fillId="0" borderId="5" xfId="0" applyFont="1" applyBorder="1"/>
    <xf numFmtId="0" fontId="3" fillId="0" borderId="19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2" fillId="0" borderId="8" xfId="0" applyFont="1" applyBorder="1"/>
    <xf numFmtId="0" fontId="3" fillId="0" borderId="35" xfId="0" applyFont="1" applyBorder="1" applyAlignment="1">
      <alignment horizontal="center"/>
    </xf>
    <xf numFmtId="0" fontId="2" fillId="0" borderId="11" xfId="0" applyFont="1" applyBorder="1"/>
    <xf numFmtId="0" fontId="2" fillId="0" borderId="36" xfId="0" applyFont="1" applyBorder="1"/>
    <xf numFmtId="0" fontId="3" fillId="0" borderId="37" xfId="0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2" fillId="0" borderId="10" xfId="0" applyFont="1" applyBorder="1"/>
    <xf numFmtId="0" fontId="3" fillId="0" borderId="3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32" xfId="0" applyFont="1" applyBorder="1"/>
    <xf numFmtId="0" fontId="2" fillId="0" borderId="9" xfId="0" applyFont="1" applyBorder="1"/>
    <xf numFmtId="3" fontId="3" fillId="0" borderId="8" xfId="0" applyNumberFormat="1" applyFont="1" applyBorder="1" applyAlignment="1">
      <alignment horizontal="right"/>
    </xf>
    <xf numFmtId="164" fontId="3" fillId="0" borderId="25" xfId="0" applyNumberFormat="1" applyFont="1" applyBorder="1" applyAlignment="1">
      <alignment horizontal="center"/>
    </xf>
    <xf numFmtId="0" fontId="2" fillId="0" borderId="26" xfId="0" applyFont="1" applyBorder="1"/>
    <xf numFmtId="0" fontId="9" fillId="0" borderId="13" xfId="0" applyFont="1" applyBorder="1" applyAlignment="1">
      <alignment horizontal="center" vertical="center"/>
    </xf>
    <xf numFmtId="0" fontId="2" fillId="0" borderId="14" xfId="0" applyFont="1" applyBorder="1"/>
    <xf numFmtId="0" fontId="2" fillId="0" borderId="15" xfId="0" applyFont="1" applyBorder="1"/>
    <xf numFmtId="0" fontId="2" fillId="0" borderId="17" xfId="0" applyFont="1" applyBorder="1"/>
    <xf numFmtId="0" fontId="9" fillId="0" borderId="33" xfId="0" applyFont="1" applyBorder="1" applyAlignment="1">
      <alignment horizontal="center"/>
    </xf>
    <xf numFmtId="164" fontId="3" fillId="0" borderId="19" xfId="0" applyNumberFormat="1" applyFont="1" applyBorder="1" applyAlignment="1">
      <alignment horizontal="right"/>
    </xf>
    <xf numFmtId="0" fontId="2" fillId="0" borderId="20" xfId="0" applyFont="1" applyBorder="1"/>
    <xf numFmtId="0" fontId="3" fillId="0" borderId="33" xfId="0" applyFont="1" applyBorder="1"/>
    <xf numFmtId="0" fontId="3" fillId="0" borderId="10" xfId="0" quotePrefix="1" applyFont="1" applyBorder="1" applyAlignment="1">
      <alignment horizontal="left"/>
    </xf>
    <xf numFmtId="0" fontId="3" fillId="0" borderId="3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0" fillId="0" borderId="10" xfId="0" applyFont="1" applyBorder="1" applyAlignment="1">
      <alignment horizontal="left"/>
    </xf>
    <xf numFmtId="15" fontId="3" fillId="0" borderId="10" xfId="0" quotePrefix="1" applyNumberFormat="1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9" fillId="0" borderId="3" xfId="0" applyFont="1" applyBorder="1" applyAlignment="1">
      <alignment horizontal="center"/>
    </xf>
    <xf numFmtId="0" fontId="2" fillId="0" borderId="4" xfId="0" applyFont="1" applyBorder="1"/>
    <xf numFmtId="0" fontId="3" fillId="0" borderId="10" xfId="0" applyFont="1" applyBorder="1" applyAlignment="1">
      <alignment horizontal="center"/>
    </xf>
    <xf numFmtId="0" fontId="9" fillId="0" borderId="5" xfId="0" applyFont="1" applyBorder="1"/>
    <xf numFmtId="0" fontId="9" fillId="0" borderId="7" xfId="0" applyFont="1" applyBorder="1" applyAlignment="1">
      <alignment horizontal="center"/>
    </xf>
    <xf numFmtId="164" fontId="3" fillId="0" borderId="19" xfId="0" applyNumberFormat="1" applyFont="1" applyBorder="1" applyAlignment="1">
      <alignment horizontal="center"/>
    </xf>
    <xf numFmtId="0" fontId="3" fillId="0" borderId="19" xfId="0" applyFont="1" applyBorder="1" applyAlignment="1">
      <alignment horizontal="left" wrapText="1"/>
    </xf>
    <xf numFmtId="0" fontId="3" fillId="0" borderId="11" xfId="0" applyFont="1" applyBorder="1" applyAlignment="1">
      <alignment horizontal="left" wrapText="1"/>
    </xf>
    <xf numFmtId="0" fontId="3" fillId="0" borderId="20" xfId="0" applyFont="1" applyBorder="1" applyAlignment="1">
      <alignment horizontal="left" wrapText="1"/>
    </xf>
    <xf numFmtId="165" fontId="3" fillId="0" borderId="19" xfId="0" applyNumberFormat="1" applyFont="1" applyBorder="1" applyAlignment="1">
      <alignment horizontal="center"/>
    </xf>
    <xf numFmtId="165" fontId="3" fillId="0" borderId="21" xfId="0" applyNumberFormat="1" applyFont="1" applyBorder="1" applyAlignment="1">
      <alignment horizontal="right"/>
    </xf>
    <xf numFmtId="0" fontId="2" fillId="0" borderId="22" xfId="0" applyFont="1" applyBorder="1"/>
    <xf numFmtId="0" fontId="2" fillId="0" borderId="23" xfId="0" applyFont="1" applyBorder="1"/>
    <xf numFmtId="0" fontId="3" fillId="0" borderId="4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9" fillId="0" borderId="33" xfId="0" applyFont="1" applyBorder="1"/>
    <xf numFmtId="0" fontId="11" fillId="0" borderId="33" xfId="0" applyFont="1" applyBorder="1" applyAlignment="1">
      <alignment horizontal="left" vertical="top" wrapText="1"/>
    </xf>
    <xf numFmtId="0" fontId="11" fillId="0" borderId="10" xfId="0" applyFont="1" applyBorder="1" applyAlignment="1">
      <alignment horizontal="left" vertical="top" wrapText="1"/>
    </xf>
    <xf numFmtId="0" fontId="3" fillId="0" borderId="24" xfId="0" applyFont="1" applyBorder="1" applyAlignment="1">
      <alignment horizontal="center"/>
    </xf>
    <xf numFmtId="0" fontId="3" fillId="0" borderId="27" xfId="0" applyFont="1" applyBorder="1" applyAlignment="1">
      <alignment horizontal="left"/>
    </xf>
    <xf numFmtId="164" fontId="3" fillId="0" borderId="10" xfId="0" applyNumberFormat="1" applyFont="1" applyBorder="1" applyAlignment="1">
      <alignment horizontal="center"/>
    </xf>
    <xf numFmtId="0" fontId="2" fillId="0" borderId="28" xfId="0" applyFont="1" applyBorder="1"/>
    <xf numFmtId="0" fontId="12" fillId="0" borderId="11" xfId="0" applyFont="1" applyBorder="1" applyAlignment="1">
      <alignment horizontal="left"/>
    </xf>
    <xf numFmtId="0" fontId="9" fillId="0" borderId="29" xfId="0" applyFont="1" applyBorder="1" applyAlignment="1">
      <alignment horizontal="left"/>
    </xf>
    <xf numFmtId="164" fontId="9" fillId="0" borderId="14" xfId="0" applyNumberFormat="1" applyFont="1" applyBorder="1" applyAlignment="1">
      <alignment horizontal="center"/>
    </xf>
    <xf numFmtId="0" fontId="11" fillId="0" borderId="0" xfId="0" applyFont="1" applyAlignment="1">
      <alignment horizontal="left" vertical="top" wrapText="1"/>
    </xf>
    <xf numFmtId="0" fontId="9" fillId="0" borderId="7" xfId="0" applyFont="1" applyBorder="1"/>
    <xf numFmtId="0" fontId="2" fillId="0" borderId="30" xfId="0" applyFont="1" applyBorder="1"/>
    <xf numFmtId="0" fontId="9" fillId="0" borderId="0" xfId="0" applyFont="1"/>
    <xf numFmtId="0" fontId="9" fillId="0" borderId="0" xfId="0" quotePrefix="1" applyFont="1"/>
    <xf numFmtId="0" fontId="2" fillId="0" borderId="38" xfId="0" applyFont="1" applyBorder="1"/>
    <xf numFmtId="0" fontId="2" fillId="0" borderId="39" xfId="0" applyFont="1" applyBorder="1"/>
    <xf numFmtId="0" fontId="9" fillId="0" borderId="0" xfId="0" applyFont="1" applyAlignment="1">
      <alignment horizontal="left"/>
    </xf>
    <xf numFmtId="0" fontId="9" fillId="2" borderId="3" xfId="0" applyFont="1" applyFill="1" applyBorder="1" applyAlignment="1">
      <alignment horizontal="center"/>
    </xf>
    <xf numFmtId="0" fontId="2" fillId="2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0</xdr:row>
      <xdr:rowOff>66675</xdr:rowOff>
    </xdr:from>
    <xdr:ext cx="600075" cy="647700"/>
    <xdr:pic>
      <xdr:nvPicPr>
        <xdr:cNvPr id="2" name="image1.jpg" descr="Gajah blok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975" y="66675"/>
          <a:ext cx="600075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1171575</xdr:colOff>
      <xdr:row>83</xdr:row>
      <xdr:rowOff>38100</xdr:rowOff>
    </xdr:from>
    <xdr:ext cx="1857375" cy="6191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0</xdr:row>
      <xdr:rowOff>66675</xdr:rowOff>
    </xdr:from>
    <xdr:ext cx="600075" cy="647700"/>
    <xdr:pic>
      <xdr:nvPicPr>
        <xdr:cNvPr id="2" name="image1.jpg" descr="Gajah blok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975" y="66675"/>
          <a:ext cx="600075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1171575</xdr:colOff>
      <xdr:row>84</xdr:row>
      <xdr:rowOff>38100</xdr:rowOff>
    </xdr:from>
    <xdr:ext cx="1857375" cy="6191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867650" y="13525500"/>
          <a:ext cx="1857375" cy="6191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about:blank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42"/>
  <sheetViews>
    <sheetView showGridLines="0" tabSelected="1" workbookViewId="0">
      <selection activeCell="L11" sqref="L11"/>
    </sheetView>
  </sheetViews>
  <sheetFormatPr defaultColWidth="12.53125" defaultRowHeight="12.75" x14ac:dyDescent="0.35"/>
  <cols>
    <col min="1" max="1" width="1.46484375" customWidth="1"/>
    <col min="2" max="2" width="4.19921875" customWidth="1"/>
    <col min="3" max="3" width="10.265625" customWidth="1"/>
    <col min="4" max="4" width="1.73046875" customWidth="1"/>
    <col min="5" max="5" width="9.19921875" customWidth="1"/>
    <col min="6" max="6" width="26.73046875" customWidth="1"/>
    <col min="7" max="7" width="7" customWidth="1"/>
    <col min="8" max="8" width="7.19921875" customWidth="1"/>
    <col min="9" max="9" width="12.265625" customWidth="1"/>
    <col min="10" max="10" width="3.46484375" customWidth="1"/>
    <col min="11" max="11" width="0.796875" customWidth="1"/>
    <col min="12" max="12" width="5.46484375" customWidth="1"/>
    <col min="13" max="13" width="23.796875" customWidth="1"/>
    <col min="14" max="14" width="1.46484375" customWidth="1"/>
    <col min="15" max="15" width="3.19921875" customWidth="1"/>
    <col min="16" max="26" width="9.19921875" customWidth="1"/>
  </cols>
  <sheetData>
    <row r="1" spans="1:26" ht="12.75" customHeight="1" x14ac:dyDescent="0.35">
      <c r="A1" s="80"/>
      <c r="B1" s="83"/>
      <c r="C1" s="70"/>
      <c r="D1" s="70"/>
      <c r="E1" s="3"/>
      <c r="F1" s="3"/>
      <c r="G1" s="3"/>
      <c r="H1" s="3"/>
      <c r="I1" s="3"/>
      <c r="J1" s="3"/>
      <c r="K1" s="3"/>
      <c r="L1" s="3"/>
      <c r="M1" s="3"/>
      <c r="N1" s="55"/>
      <c r="O1" s="58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4">
      <c r="A2" s="81"/>
      <c r="B2" s="4"/>
      <c r="C2" s="4"/>
      <c r="D2" s="4"/>
      <c r="E2" s="5" t="s">
        <v>0</v>
      </c>
      <c r="F2" s="4"/>
      <c r="G2" s="4"/>
      <c r="H2" s="4"/>
      <c r="I2" s="4"/>
      <c r="J2" s="60" t="s">
        <v>1</v>
      </c>
      <c r="K2" s="61"/>
      <c r="L2" s="61"/>
      <c r="M2" s="61"/>
      <c r="N2" s="56"/>
      <c r="O2" s="5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35">
      <c r="A3" s="81"/>
      <c r="B3" s="7"/>
      <c r="C3" s="8"/>
      <c r="D3" s="8"/>
      <c r="E3" s="9" t="s">
        <v>2</v>
      </c>
      <c r="F3" s="8"/>
      <c r="G3" s="8"/>
      <c r="H3" s="8"/>
      <c r="I3" s="8"/>
      <c r="J3" s="61"/>
      <c r="K3" s="61"/>
      <c r="L3" s="61"/>
      <c r="M3" s="61"/>
      <c r="N3" s="56"/>
      <c r="O3" s="59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thickBot="1" x14ac:dyDescent="0.4">
      <c r="A4" s="81"/>
      <c r="B4" s="4"/>
      <c r="C4" s="62" t="s">
        <v>3</v>
      </c>
      <c r="D4" s="61"/>
      <c r="E4" s="61"/>
      <c r="F4" s="61"/>
      <c r="G4" s="61"/>
      <c r="H4" s="61"/>
      <c r="I4" s="61"/>
      <c r="J4" s="63"/>
      <c r="K4" s="61"/>
      <c r="L4" s="61"/>
      <c r="M4" s="61"/>
      <c r="N4" s="56"/>
      <c r="O4" s="59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thickTop="1" thickBot="1" x14ac:dyDescent="0.4">
      <c r="A5" s="81"/>
      <c r="B5" s="99"/>
      <c r="C5" s="100"/>
      <c r="D5" s="100"/>
      <c r="E5" s="100"/>
      <c r="F5" s="100"/>
      <c r="G5" s="100"/>
      <c r="H5" s="100"/>
      <c r="I5" s="101"/>
      <c r="J5" s="136" t="s">
        <v>62</v>
      </c>
      <c r="K5" s="137"/>
      <c r="L5" s="137"/>
      <c r="M5" s="137"/>
      <c r="N5" s="56"/>
      <c r="O5" s="59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.75" customHeight="1" thickTop="1" x14ac:dyDescent="0.35">
      <c r="A6" s="81"/>
      <c r="B6" s="104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56"/>
      <c r="O6" s="59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.25" customHeight="1" thickBot="1" x14ac:dyDescent="0.4">
      <c r="A7" s="81"/>
      <c r="B7" s="79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56"/>
      <c r="O7" s="59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thickBot="1" x14ac:dyDescent="0.4">
      <c r="A8" s="81"/>
      <c r="B8" s="105" t="s">
        <v>4</v>
      </c>
      <c r="C8" s="57"/>
      <c r="D8" s="80"/>
      <c r="E8" s="70"/>
      <c r="F8" s="70"/>
      <c r="G8" s="70"/>
      <c r="H8" s="13"/>
      <c r="I8" s="105" t="s">
        <v>5</v>
      </c>
      <c r="J8" s="57"/>
      <c r="K8" s="106"/>
      <c r="L8" s="70"/>
      <c r="M8" s="70"/>
      <c r="N8" s="56"/>
      <c r="O8" s="59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35">
      <c r="A9" s="81"/>
      <c r="B9" s="90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56"/>
      <c r="O9" s="59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35">
      <c r="A10" s="81"/>
      <c r="B10" s="93" t="s">
        <v>6</v>
      </c>
      <c r="C10" s="61"/>
      <c r="D10" s="4" t="s">
        <v>7</v>
      </c>
      <c r="E10" s="77" t="s">
        <v>53</v>
      </c>
      <c r="F10" s="78"/>
      <c r="G10" s="78"/>
      <c r="H10" s="4"/>
      <c r="I10" s="93" t="s">
        <v>8</v>
      </c>
      <c r="J10" s="61"/>
      <c r="K10" s="4" t="s">
        <v>7</v>
      </c>
      <c r="L10" s="98" t="s">
        <v>64</v>
      </c>
      <c r="M10" s="78"/>
      <c r="N10" s="56"/>
      <c r="O10" s="59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5">
      <c r="A11" s="81"/>
      <c r="B11" s="4"/>
      <c r="C11" s="4"/>
      <c r="D11" s="4"/>
      <c r="E11" s="14"/>
      <c r="F11" s="15"/>
      <c r="G11" s="15"/>
      <c r="H11" s="4"/>
      <c r="I11" s="4"/>
      <c r="J11" s="4"/>
      <c r="K11" s="4"/>
      <c r="L11" s="16"/>
      <c r="M11" s="15"/>
      <c r="N11" s="56"/>
      <c r="O11" s="59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35">
      <c r="A12" s="81"/>
      <c r="B12" s="4"/>
      <c r="C12" s="4"/>
      <c r="D12" s="4"/>
      <c r="E12" s="14"/>
      <c r="F12" s="17"/>
      <c r="G12" s="17"/>
      <c r="H12" s="4"/>
      <c r="I12" s="4"/>
      <c r="J12" s="4"/>
      <c r="K12" s="4"/>
      <c r="L12" s="16"/>
      <c r="M12" s="15"/>
      <c r="N12" s="56"/>
      <c r="O12" s="59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35">
      <c r="A13" s="81"/>
      <c r="B13" s="79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56"/>
      <c r="O13" s="59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35">
      <c r="A14" s="81"/>
      <c r="B14" s="93" t="s">
        <v>9</v>
      </c>
      <c r="C14" s="61"/>
      <c r="D14" s="4" t="s">
        <v>7</v>
      </c>
      <c r="E14" s="97" t="s">
        <v>54</v>
      </c>
      <c r="F14" s="78"/>
      <c r="G14" s="78"/>
      <c r="H14" s="79"/>
      <c r="I14" s="93" t="s">
        <v>10</v>
      </c>
      <c r="J14" s="61"/>
      <c r="K14" s="4" t="s">
        <v>7</v>
      </c>
      <c r="L14" s="77" t="s">
        <v>61</v>
      </c>
      <c r="M14" s="78"/>
      <c r="N14" s="56"/>
      <c r="O14" s="59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35">
      <c r="A15" s="81"/>
      <c r="B15" s="4"/>
      <c r="C15" s="4"/>
      <c r="D15" s="4"/>
      <c r="E15" s="77" t="s">
        <v>55</v>
      </c>
      <c r="F15" s="78"/>
      <c r="G15" s="78"/>
      <c r="H15" s="61"/>
      <c r="I15" s="4"/>
      <c r="J15" s="4"/>
      <c r="K15" s="4"/>
      <c r="L15" s="77" t="s">
        <v>56</v>
      </c>
      <c r="M15" s="78"/>
      <c r="N15" s="56"/>
      <c r="O15" s="59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35">
      <c r="A16" s="81"/>
      <c r="B16" s="4"/>
      <c r="C16" s="4"/>
      <c r="D16" s="4"/>
      <c r="E16" s="18"/>
      <c r="F16" s="18"/>
      <c r="G16" s="18"/>
      <c r="H16" s="61"/>
      <c r="I16" s="4"/>
      <c r="J16" s="4"/>
      <c r="K16" s="4"/>
      <c r="L16" s="77"/>
      <c r="M16" s="78"/>
      <c r="N16" s="56"/>
      <c r="O16" s="59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35">
      <c r="A17" s="81"/>
      <c r="B17" s="4"/>
      <c r="C17" s="4"/>
      <c r="D17" s="4"/>
      <c r="E17" s="18"/>
      <c r="F17" s="18"/>
      <c r="G17" s="18"/>
      <c r="H17" s="61"/>
      <c r="I17" s="4"/>
      <c r="J17" s="4"/>
      <c r="K17" s="4"/>
      <c r="L17" s="77"/>
      <c r="M17" s="78"/>
      <c r="N17" s="56"/>
      <c r="O17" s="59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35">
      <c r="A18" s="81"/>
      <c r="B18" s="4"/>
      <c r="C18" s="4"/>
      <c r="D18" s="4"/>
      <c r="E18" s="77"/>
      <c r="F18" s="78"/>
      <c r="G18" s="78"/>
      <c r="H18" s="61"/>
      <c r="I18" s="4"/>
      <c r="J18" s="4"/>
      <c r="K18" s="4"/>
      <c r="L18" s="4"/>
      <c r="M18" s="4"/>
      <c r="N18" s="56"/>
      <c r="O18" s="59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35">
      <c r="A19" s="81"/>
      <c r="B19" s="4"/>
      <c r="C19" s="4"/>
      <c r="D19" s="4"/>
      <c r="E19" s="77"/>
      <c r="F19" s="78"/>
      <c r="G19" s="78"/>
      <c r="H19" s="61"/>
      <c r="I19" s="95" t="s">
        <v>11</v>
      </c>
      <c r="J19" s="61"/>
      <c r="K19" s="4" t="s">
        <v>7</v>
      </c>
      <c r="L19" s="96" t="s">
        <v>12</v>
      </c>
      <c r="M19" s="59"/>
      <c r="N19" s="56"/>
      <c r="O19" s="59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35">
      <c r="A20" s="81"/>
      <c r="B20" s="79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56"/>
      <c r="O20" s="59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35">
      <c r="A21" s="81"/>
      <c r="B21" s="93" t="s">
        <v>13</v>
      </c>
      <c r="C21" s="61"/>
      <c r="D21" s="4" t="s">
        <v>7</v>
      </c>
      <c r="E21" s="94"/>
      <c r="F21" s="78"/>
      <c r="G21" s="78"/>
      <c r="H21" s="4"/>
      <c r="I21" s="93" t="s">
        <v>14</v>
      </c>
      <c r="J21" s="61"/>
      <c r="K21" s="4" t="s">
        <v>7</v>
      </c>
      <c r="L21" s="77"/>
      <c r="M21" s="78"/>
      <c r="N21" s="56"/>
      <c r="O21" s="59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thickBot="1" x14ac:dyDescent="0.4">
      <c r="A22" s="81"/>
      <c r="B22" s="79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56"/>
      <c r="O22" s="59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thickBot="1" x14ac:dyDescent="0.4">
      <c r="A23" s="81"/>
      <c r="B23" s="19" t="s">
        <v>15</v>
      </c>
      <c r="C23" s="86" t="s">
        <v>16</v>
      </c>
      <c r="D23" s="87"/>
      <c r="E23" s="87"/>
      <c r="F23" s="88"/>
      <c r="G23" s="20" t="s">
        <v>17</v>
      </c>
      <c r="H23" s="20" t="s">
        <v>18</v>
      </c>
      <c r="I23" s="86" t="s">
        <v>19</v>
      </c>
      <c r="J23" s="88"/>
      <c r="K23" s="86" t="s">
        <v>20</v>
      </c>
      <c r="L23" s="87"/>
      <c r="M23" s="89"/>
      <c r="N23" s="56"/>
      <c r="O23" s="59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35">
      <c r="A24" s="81"/>
      <c r="B24" s="90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56"/>
      <c r="O24" s="59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35">
      <c r="A25" s="81"/>
      <c r="B25" s="21">
        <v>1</v>
      </c>
      <c r="C25" s="66" t="s">
        <v>63</v>
      </c>
      <c r="D25" s="67"/>
      <c r="E25" s="67"/>
      <c r="F25" s="68"/>
      <c r="G25" s="22">
        <v>1</v>
      </c>
      <c r="H25" s="22" t="s">
        <v>21</v>
      </c>
      <c r="I25" s="91">
        <v>280000000</v>
      </c>
      <c r="J25" s="92"/>
      <c r="K25" s="107">
        <f>G25*I25</f>
        <v>280000000</v>
      </c>
      <c r="L25" s="72"/>
      <c r="M25" s="92"/>
      <c r="N25" s="56"/>
      <c r="O25" s="59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35">
      <c r="A26" s="81"/>
      <c r="B26" s="21"/>
      <c r="C26" s="108" t="s">
        <v>51</v>
      </c>
      <c r="D26" s="109"/>
      <c r="E26" s="109"/>
      <c r="F26" s="110"/>
      <c r="G26" s="22"/>
      <c r="H26" s="22"/>
      <c r="I26" s="111"/>
      <c r="J26" s="92"/>
      <c r="K26" s="112"/>
      <c r="L26" s="113"/>
      <c r="M26" s="114"/>
      <c r="N26" s="56"/>
      <c r="O26" s="59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35">
      <c r="A27" s="81"/>
      <c r="B27" s="21"/>
      <c r="C27" s="66" t="s">
        <v>57</v>
      </c>
      <c r="D27" s="67"/>
      <c r="E27" s="67"/>
      <c r="F27" s="68"/>
      <c r="G27" s="22"/>
      <c r="H27" s="22"/>
      <c r="I27" s="23"/>
      <c r="J27" s="24"/>
      <c r="K27" s="25"/>
      <c r="L27" s="26"/>
      <c r="M27" s="27"/>
      <c r="N27" s="56"/>
      <c r="O27" s="59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35">
      <c r="A28" s="81"/>
      <c r="B28" s="21"/>
      <c r="C28" s="28" t="s">
        <v>52</v>
      </c>
      <c r="D28" s="17"/>
      <c r="E28" s="17"/>
      <c r="F28" s="29"/>
      <c r="G28" s="22"/>
      <c r="H28" s="22"/>
      <c r="I28" s="23"/>
      <c r="J28" s="24"/>
      <c r="K28" s="25"/>
      <c r="L28" s="26"/>
      <c r="M28" s="27"/>
      <c r="N28" s="56"/>
      <c r="O28" s="59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35">
      <c r="A29" s="81"/>
      <c r="B29" s="30"/>
      <c r="C29" s="66"/>
      <c r="D29" s="72"/>
      <c r="E29" s="72"/>
      <c r="F29" s="92"/>
      <c r="G29" s="22"/>
      <c r="H29" s="22"/>
      <c r="I29" s="31"/>
      <c r="J29" s="32"/>
      <c r="K29" s="33"/>
      <c r="L29" s="34"/>
      <c r="M29" s="35"/>
      <c r="N29" s="56"/>
      <c r="O29" s="59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thickBot="1" x14ac:dyDescent="0.4">
      <c r="A30" s="81"/>
      <c r="B30" s="79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56"/>
      <c r="O30" s="59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35">
      <c r="A31" s="81"/>
      <c r="B31" s="118" t="s">
        <v>22</v>
      </c>
      <c r="C31" s="61"/>
      <c r="D31" s="36" t="s">
        <v>7</v>
      </c>
      <c r="E31" s="119" t="s">
        <v>58</v>
      </c>
      <c r="F31" s="119"/>
      <c r="G31" s="119"/>
      <c r="H31" s="121"/>
      <c r="I31" s="69" t="s">
        <v>23</v>
      </c>
      <c r="J31" s="70"/>
      <c r="K31" s="37" t="s">
        <v>7</v>
      </c>
      <c r="L31" s="84">
        <f>SUM(K25:M26)</f>
        <v>280000000</v>
      </c>
      <c r="M31" s="85"/>
      <c r="N31" s="56"/>
      <c r="O31" s="59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thickBot="1" x14ac:dyDescent="0.4">
      <c r="A32" s="81"/>
      <c r="B32" s="4"/>
      <c r="C32" s="4"/>
      <c r="D32" s="4"/>
      <c r="E32" s="120"/>
      <c r="F32" s="120"/>
      <c r="G32" s="120"/>
      <c r="H32" s="56"/>
      <c r="I32" s="122" t="s">
        <v>24</v>
      </c>
      <c r="J32" s="113"/>
      <c r="K32" s="38" t="s">
        <v>7</v>
      </c>
      <c r="L32" s="123">
        <v>0</v>
      </c>
      <c r="M32" s="124"/>
      <c r="N32" s="56"/>
      <c r="O32" s="59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thickBot="1" x14ac:dyDescent="0.4">
      <c r="A33" s="81"/>
      <c r="B33" s="125"/>
      <c r="C33" s="72"/>
      <c r="D33" s="72"/>
      <c r="E33" s="72"/>
      <c r="F33" s="72"/>
      <c r="G33" s="72"/>
      <c r="H33" s="56"/>
      <c r="I33" s="126" t="s">
        <v>25</v>
      </c>
      <c r="J33" s="87"/>
      <c r="K33" s="39" t="s">
        <v>7</v>
      </c>
      <c r="L33" s="127">
        <f>L31+L32</f>
        <v>280000000</v>
      </c>
      <c r="M33" s="89"/>
      <c r="N33" s="56"/>
      <c r="O33" s="59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thickBot="1" x14ac:dyDescent="0.4">
      <c r="A34" s="81"/>
      <c r="B34" s="79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56"/>
      <c r="O34" s="59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7.55" customHeight="1" thickBot="1" x14ac:dyDescent="0.4">
      <c r="A35" s="81"/>
      <c r="B35" s="11"/>
      <c r="C35" s="12"/>
      <c r="D35" s="40"/>
      <c r="E35" s="2"/>
      <c r="F35" s="2"/>
      <c r="G35" s="2"/>
      <c r="H35" s="10"/>
      <c r="I35" s="115" t="s">
        <v>34</v>
      </c>
      <c r="J35" s="116"/>
      <c r="K35" s="116"/>
      <c r="L35" s="116"/>
      <c r="M35" s="117"/>
      <c r="N35" s="56"/>
      <c r="O35" s="59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35">
      <c r="A36" s="81"/>
      <c r="B36" s="10"/>
      <c r="C36" s="6"/>
      <c r="D36" s="6"/>
      <c r="E36" s="6"/>
      <c r="F36" s="6"/>
      <c r="G36" s="6"/>
      <c r="H36" s="6"/>
      <c r="I36" s="41"/>
      <c r="J36" s="42"/>
      <c r="K36" s="42"/>
      <c r="L36" s="42"/>
      <c r="M36" s="43"/>
      <c r="N36" s="56"/>
      <c r="O36" s="59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35">
      <c r="A37" s="81"/>
      <c r="B37" s="4"/>
      <c r="C37" s="6"/>
      <c r="F37" s="4"/>
      <c r="G37" s="44"/>
      <c r="I37" s="45"/>
      <c r="J37" s="4"/>
      <c r="K37" s="4"/>
      <c r="L37" s="4"/>
      <c r="M37" s="46"/>
      <c r="N37" s="56"/>
      <c r="O37" s="59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5">
      <c r="A38" s="81"/>
      <c r="B38" s="4"/>
      <c r="C38" s="6"/>
      <c r="F38" s="4"/>
      <c r="G38" s="54"/>
      <c r="I38" s="45"/>
      <c r="J38" s="4"/>
      <c r="K38" s="4"/>
      <c r="L38" s="4"/>
      <c r="M38" s="46"/>
      <c r="N38" s="56"/>
      <c r="O38" s="59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35">
      <c r="A39" s="81"/>
      <c r="B39" s="4"/>
      <c r="C39" s="6"/>
      <c r="D39" s="4"/>
      <c r="E39" s="47"/>
      <c r="H39" s="6"/>
      <c r="I39" s="45"/>
      <c r="J39" s="4"/>
      <c r="K39" s="4"/>
      <c r="L39" s="4"/>
      <c r="M39" s="46"/>
      <c r="N39" s="56"/>
      <c r="O39" s="59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7" customHeight="1" x14ac:dyDescent="0.35">
      <c r="A40" s="81"/>
      <c r="B40" s="4"/>
      <c r="C40" s="6"/>
      <c r="D40" s="4"/>
      <c r="E40" s="44"/>
      <c r="H40" s="6"/>
      <c r="I40" s="45"/>
      <c r="J40" s="4"/>
      <c r="K40" s="4"/>
      <c r="L40" s="4"/>
      <c r="M40" s="46"/>
      <c r="N40" s="56"/>
      <c r="O40" s="59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35">
      <c r="A41" s="81"/>
      <c r="B41" s="48"/>
      <c r="C41" s="48"/>
      <c r="D41" s="48"/>
      <c r="E41" s="48"/>
      <c r="F41" s="48"/>
      <c r="G41" s="48"/>
      <c r="H41" s="48"/>
      <c r="I41" s="71" t="s">
        <v>59</v>
      </c>
      <c r="J41" s="72"/>
      <c r="K41" s="72"/>
      <c r="L41" s="72"/>
      <c r="M41" s="73"/>
      <c r="N41" s="56"/>
      <c r="O41" s="59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thickBot="1" x14ac:dyDescent="0.4">
      <c r="A42" s="81"/>
      <c r="B42" s="48"/>
      <c r="C42" s="48"/>
      <c r="D42" s="48"/>
      <c r="E42" s="48"/>
      <c r="F42" s="48"/>
      <c r="G42" s="48"/>
      <c r="H42" s="48"/>
      <c r="I42" s="74" t="s">
        <v>60</v>
      </c>
      <c r="J42" s="75"/>
      <c r="K42" s="75"/>
      <c r="L42" s="75"/>
      <c r="M42" s="76"/>
      <c r="N42" s="56"/>
      <c r="O42" s="59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thickBot="1" x14ac:dyDescent="0.4">
      <c r="A43" s="82"/>
      <c r="B43" s="64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57"/>
      <c r="O43" s="59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</sheetData>
  <mergeCells count="68">
    <mergeCell ref="B34:M34"/>
    <mergeCell ref="I35:M35"/>
    <mergeCell ref="B30:M30"/>
    <mergeCell ref="B31:C31"/>
    <mergeCell ref="E31:G32"/>
    <mergeCell ref="H31:H33"/>
    <mergeCell ref="I32:J32"/>
    <mergeCell ref="L32:M32"/>
    <mergeCell ref="B33:G33"/>
    <mergeCell ref="I33:J33"/>
    <mergeCell ref="L33:M33"/>
    <mergeCell ref="K25:M25"/>
    <mergeCell ref="C26:F26"/>
    <mergeCell ref="I26:J26"/>
    <mergeCell ref="K26:M26"/>
    <mergeCell ref="C29:F29"/>
    <mergeCell ref="B5:I5"/>
    <mergeCell ref="J5:M5"/>
    <mergeCell ref="B6:M6"/>
    <mergeCell ref="B7:M7"/>
    <mergeCell ref="B8:C8"/>
    <mergeCell ref="D8:G8"/>
    <mergeCell ref="I8:J8"/>
    <mergeCell ref="K8:M8"/>
    <mergeCell ref="B9:M9"/>
    <mergeCell ref="B10:C10"/>
    <mergeCell ref="E10:G10"/>
    <mergeCell ref="I10:J10"/>
    <mergeCell ref="L10:M10"/>
    <mergeCell ref="I19:J19"/>
    <mergeCell ref="L19:M19"/>
    <mergeCell ref="B13:M13"/>
    <mergeCell ref="B14:C14"/>
    <mergeCell ref="E14:G14"/>
    <mergeCell ref="I14:J14"/>
    <mergeCell ref="L14:M14"/>
    <mergeCell ref="A1:A43"/>
    <mergeCell ref="B1:D1"/>
    <mergeCell ref="L31:M31"/>
    <mergeCell ref="C25:F25"/>
    <mergeCell ref="C23:F23"/>
    <mergeCell ref="I23:J23"/>
    <mergeCell ref="K23:M23"/>
    <mergeCell ref="B24:M24"/>
    <mergeCell ref="I25:J25"/>
    <mergeCell ref="B20:M20"/>
    <mergeCell ref="I21:J21"/>
    <mergeCell ref="B22:M22"/>
    <mergeCell ref="B21:C21"/>
    <mergeCell ref="E21:G21"/>
    <mergeCell ref="L21:M21"/>
    <mergeCell ref="L15:M15"/>
    <mergeCell ref="N1:N43"/>
    <mergeCell ref="O1:O43"/>
    <mergeCell ref="J2:M3"/>
    <mergeCell ref="C4:I4"/>
    <mergeCell ref="J4:M4"/>
    <mergeCell ref="B43:M43"/>
    <mergeCell ref="C27:F27"/>
    <mergeCell ref="I31:J31"/>
    <mergeCell ref="I41:M41"/>
    <mergeCell ref="I42:M42"/>
    <mergeCell ref="L17:M17"/>
    <mergeCell ref="H14:H19"/>
    <mergeCell ref="E15:G15"/>
    <mergeCell ref="L16:M16"/>
    <mergeCell ref="E18:G18"/>
    <mergeCell ref="E19:G19"/>
  </mergeCells>
  <hyperlinks>
    <hyperlink ref="E14" r:id="rId1" display="Jl. H.R Rasuna Said Kav X-7 No.6," xr:uid="{00000000-0004-0000-0000-000000000000}"/>
  </hyperlinks>
  <pageMargins left="0.2251655629139073" right="0.15748031496063" top="0.74803149606299202" bottom="0.98425196850393704" header="0" footer="0"/>
  <pageSetup paperSize="9" scale="8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243"/>
  <sheetViews>
    <sheetView workbookViewId="0">
      <selection activeCell="E31" sqref="E31:G32"/>
    </sheetView>
  </sheetViews>
  <sheetFormatPr defaultColWidth="12.53125" defaultRowHeight="12.75" x14ac:dyDescent="0.35"/>
  <cols>
    <col min="1" max="1" width="1.46484375" customWidth="1"/>
    <col min="2" max="2" width="4.19921875" customWidth="1"/>
    <col min="3" max="3" width="10.265625" customWidth="1"/>
    <col min="4" max="4" width="1.73046875" customWidth="1"/>
    <col min="5" max="5" width="9.19921875" customWidth="1"/>
    <col min="6" max="6" width="26.73046875" customWidth="1"/>
    <col min="7" max="7" width="7" customWidth="1"/>
    <col min="8" max="8" width="7.19921875" customWidth="1"/>
    <col min="9" max="9" width="12.265625" customWidth="1"/>
    <col min="10" max="10" width="3.46484375" customWidth="1"/>
    <col min="11" max="11" width="0.796875" customWidth="1"/>
    <col min="12" max="12" width="5.46484375" customWidth="1"/>
    <col min="13" max="13" width="23.796875" customWidth="1"/>
    <col min="14" max="14" width="1.46484375" customWidth="1"/>
    <col min="15" max="15" width="3.19921875" customWidth="1"/>
    <col min="16" max="26" width="9.19921875" customWidth="1"/>
  </cols>
  <sheetData>
    <row r="1" spans="1:26" ht="12.75" customHeight="1" x14ac:dyDescent="0.35">
      <c r="A1" s="80"/>
      <c r="B1" s="83"/>
      <c r="C1" s="70"/>
      <c r="D1" s="70"/>
      <c r="E1" s="3"/>
      <c r="F1" s="3"/>
      <c r="G1" s="3"/>
      <c r="H1" s="3"/>
      <c r="I1" s="3"/>
      <c r="J1" s="3"/>
      <c r="K1" s="3"/>
      <c r="L1" s="3"/>
      <c r="M1" s="3"/>
      <c r="N1" s="55"/>
      <c r="O1" s="58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4">
      <c r="A2" s="81"/>
      <c r="B2" s="4"/>
      <c r="C2" s="4"/>
      <c r="D2" s="4"/>
      <c r="E2" s="5" t="s">
        <v>0</v>
      </c>
      <c r="F2" s="4"/>
      <c r="G2" s="4"/>
      <c r="H2" s="4"/>
      <c r="I2" s="4"/>
      <c r="J2" s="60" t="s">
        <v>1</v>
      </c>
      <c r="K2" s="61"/>
      <c r="L2" s="61"/>
      <c r="M2" s="61"/>
      <c r="N2" s="56"/>
      <c r="O2" s="5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35">
      <c r="A3" s="81"/>
      <c r="B3" s="7"/>
      <c r="C3" s="8"/>
      <c r="D3" s="8"/>
      <c r="E3" s="9" t="s">
        <v>2</v>
      </c>
      <c r="F3" s="8"/>
      <c r="G3" s="8"/>
      <c r="H3" s="8"/>
      <c r="I3" s="8"/>
      <c r="J3" s="61"/>
      <c r="K3" s="61"/>
      <c r="L3" s="61"/>
      <c r="M3" s="61"/>
      <c r="N3" s="56"/>
      <c r="O3" s="59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thickBot="1" x14ac:dyDescent="0.4">
      <c r="A4" s="81"/>
      <c r="B4" s="4"/>
      <c r="C4" s="62" t="s">
        <v>3</v>
      </c>
      <c r="D4" s="61"/>
      <c r="E4" s="61"/>
      <c r="F4" s="61"/>
      <c r="G4" s="61"/>
      <c r="H4" s="61"/>
      <c r="I4" s="61"/>
      <c r="J4" s="63"/>
      <c r="K4" s="61"/>
      <c r="L4" s="61"/>
      <c r="M4" s="61"/>
      <c r="N4" s="56"/>
      <c r="O4" s="59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thickTop="1" thickBot="1" x14ac:dyDescent="0.4">
      <c r="A5" s="81"/>
      <c r="B5" s="99"/>
      <c r="C5" s="100"/>
      <c r="D5" s="100"/>
      <c r="E5" s="100"/>
      <c r="F5" s="100"/>
      <c r="G5" s="100"/>
      <c r="H5" s="100"/>
      <c r="I5" s="101"/>
      <c r="J5" s="102" t="s">
        <v>48</v>
      </c>
      <c r="K5" s="103"/>
      <c r="L5" s="103"/>
      <c r="M5" s="103"/>
      <c r="N5" s="56"/>
      <c r="O5" s="59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.75" customHeight="1" thickTop="1" x14ac:dyDescent="0.35">
      <c r="A6" s="81"/>
      <c r="B6" s="104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56"/>
      <c r="O6" s="59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.25" customHeight="1" thickBot="1" x14ac:dyDescent="0.4">
      <c r="A7" s="81"/>
      <c r="B7" s="79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56"/>
      <c r="O7" s="59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thickBot="1" x14ac:dyDescent="0.4">
      <c r="A8" s="81"/>
      <c r="B8" s="105" t="s">
        <v>4</v>
      </c>
      <c r="C8" s="57"/>
      <c r="D8" s="80"/>
      <c r="E8" s="70"/>
      <c r="F8" s="70"/>
      <c r="G8" s="70"/>
      <c r="H8" s="13"/>
      <c r="I8" s="105" t="s">
        <v>5</v>
      </c>
      <c r="J8" s="57"/>
      <c r="K8" s="106"/>
      <c r="L8" s="70"/>
      <c r="M8" s="70"/>
      <c r="N8" s="56"/>
      <c r="O8" s="59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35">
      <c r="A9" s="81"/>
      <c r="B9" s="90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56"/>
      <c r="O9" s="59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35">
      <c r="A10" s="81"/>
      <c r="B10" s="93" t="s">
        <v>6</v>
      </c>
      <c r="C10" s="61"/>
      <c r="D10" s="4" t="s">
        <v>7</v>
      </c>
      <c r="E10" s="77" t="s">
        <v>35</v>
      </c>
      <c r="F10" s="78"/>
      <c r="G10" s="78"/>
      <c r="H10" s="4"/>
      <c r="I10" s="93" t="s">
        <v>8</v>
      </c>
      <c r="J10" s="61"/>
      <c r="K10" s="4" t="s">
        <v>7</v>
      </c>
      <c r="L10" s="98" t="s">
        <v>36</v>
      </c>
      <c r="M10" s="78"/>
      <c r="N10" s="56"/>
      <c r="O10" s="59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5">
      <c r="A11" s="81"/>
      <c r="B11" s="4"/>
      <c r="C11" s="4"/>
      <c r="D11" s="4"/>
      <c r="E11" s="14"/>
      <c r="F11" s="15"/>
      <c r="G11" s="15"/>
      <c r="H11" s="4"/>
      <c r="I11" s="4"/>
      <c r="J11" s="4"/>
      <c r="K11" s="4"/>
      <c r="L11" s="16"/>
      <c r="M11" s="15"/>
      <c r="N11" s="56"/>
      <c r="O11" s="59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35">
      <c r="A12" s="81"/>
      <c r="B12" s="4"/>
      <c r="C12" s="4"/>
      <c r="D12" s="4"/>
      <c r="E12" s="14"/>
      <c r="F12" s="17"/>
      <c r="G12" s="17"/>
      <c r="H12" s="4"/>
      <c r="I12" s="4"/>
      <c r="J12" s="4"/>
      <c r="K12" s="4"/>
      <c r="L12" s="16"/>
      <c r="M12" s="15"/>
      <c r="N12" s="56"/>
      <c r="O12" s="59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35">
      <c r="A13" s="81"/>
      <c r="B13" s="79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56"/>
      <c r="O13" s="59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35">
      <c r="A14" s="81"/>
      <c r="B14" s="93" t="s">
        <v>9</v>
      </c>
      <c r="C14" s="61"/>
      <c r="D14" s="4" t="s">
        <v>7</v>
      </c>
      <c r="E14" s="97" t="s">
        <v>37</v>
      </c>
      <c r="F14" s="78"/>
      <c r="G14" s="78"/>
      <c r="H14" s="79"/>
      <c r="I14" s="93" t="s">
        <v>10</v>
      </c>
      <c r="J14" s="61"/>
      <c r="K14" s="4" t="s">
        <v>7</v>
      </c>
      <c r="L14" s="77" t="s">
        <v>38</v>
      </c>
      <c r="M14" s="78"/>
      <c r="N14" s="56"/>
      <c r="O14" s="59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35">
      <c r="A15" s="81"/>
      <c r="B15" s="4"/>
      <c r="C15" s="4"/>
      <c r="D15" s="4"/>
      <c r="E15" s="77" t="s">
        <v>39</v>
      </c>
      <c r="F15" s="78"/>
      <c r="G15" s="78"/>
      <c r="H15" s="61"/>
      <c r="I15" s="4"/>
      <c r="J15" s="4"/>
      <c r="K15" s="4"/>
      <c r="L15" s="77" t="s">
        <v>40</v>
      </c>
      <c r="M15" s="78"/>
      <c r="N15" s="56"/>
      <c r="O15" s="59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35">
      <c r="A16" s="81"/>
      <c r="B16" s="4"/>
      <c r="C16" s="4"/>
      <c r="D16" s="4"/>
      <c r="E16" s="18"/>
      <c r="F16" s="18"/>
      <c r="G16" s="18"/>
      <c r="H16" s="61"/>
      <c r="I16" s="4"/>
      <c r="J16" s="4"/>
      <c r="K16" s="4"/>
      <c r="L16" s="77"/>
      <c r="M16" s="78"/>
      <c r="N16" s="56"/>
      <c r="O16" s="59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35">
      <c r="A17" s="81"/>
      <c r="B17" s="4"/>
      <c r="C17" s="4"/>
      <c r="D17" s="4"/>
      <c r="E17" s="18"/>
      <c r="F17" s="18"/>
      <c r="G17" s="18"/>
      <c r="H17" s="61"/>
      <c r="I17" s="4"/>
      <c r="J17" s="4"/>
      <c r="K17" s="4"/>
      <c r="L17" s="77"/>
      <c r="M17" s="78"/>
      <c r="N17" s="56"/>
      <c r="O17" s="59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35">
      <c r="A18" s="81"/>
      <c r="B18" s="4"/>
      <c r="C18" s="4"/>
      <c r="D18" s="4"/>
      <c r="E18" s="77"/>
      <c r="F18" s="78"/>
      <c r="G18" s="78"/>
      <c r="H18" s="61"/>
      <c r="I18" s="4"/>
      <c r="J18" s="4"/>
      <c r="K18" s="4"/>
      <c r="L18" s="4"/>
      <c r="M18" s="4"/>
      <c r="N18" s="56"/>
      <c r="O18" s="59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35">
      <c r="A19" s="81"/>
      <c r="B19" s="4"/>
      <c r="C19" s="4"/>
      <c r="D19" s="4"/>
      <c r="E19" s="77"/>
      <c r="F19" s="78"/>
      <c r="G19" s="78"/>
      <c r="H19" s="61"/>
      <c r="I19" s="95" t="s">
        <v>11</v>
      </c>
      <c r="J19" s="61"/>
      <c r="K19" s="4" t="s">
        <v>7</v>
      </c>
      <c r="L19" s="96" t="s">
        <v>12</v>
      </c>
      <c r="M19" s="59"/>
      <c r="N19" s="56"/>
      <c r="O19" s="59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35">
      <c r="A20" s="81"/>
      <c r="B20" s="79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56"/>
      <c r="O20" s="59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35">
      <c r="A21" s="81"/>
      <c r="B21" s="93" t="s">
        <v>13</v>
      </c>
      <c r="C21" s="61"/>
      <c r="D21" s="4" t="s">
        <v>7</v>
      </c>
      <c r="E21" s="94" t="s">
        <v>41</v>
      </c>
      <c r="F21" s="78"/>
      <c r="G21" s="78"/>
      <c r="H21" s="4"/>
      <c r="I21" s="93" t="s">
        <v>14</v>
      </c>
      <c r="J21" s="61"/>
      <c r="K21" s="4" t="s">
        <v>7</v>
      </c>
      <c r="L21" s="77" t="s">
        <v>42</v>
      </c>
      <c r="M21" s="78"/>
      <c r="N21" s="56"/>
      <c r="O21" s="59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thickBot="1" x14ac:dyDescent="0.4">
      <c r="A22" s="81"/>
      <c r="B22" s="79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56"/>
      <c r="O22" s="59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thickBot="1" x14ac:dyDescent="0.4">
      <c r="A23" s="81"/>
      <c r="B23" s="19" t="s">
        <v>15</v>
      </c>
      <c r="C23" s="86" t="s">
        <v>16</v>
      </c>
      <c r="D23" s="87"/>
      <c r="E23" s="87"/>
      <c r="F23" s="88"/>
      <c r="G23" s="20" t="s">
        <v>17</v>
      </c>
      <c r="H23" s="20" t="s">
        <v>18</v>
      </c>
      <c r="I23" s="86" t="s">
        <v>19</v>
      </c>
      <c r="J23" s="88"/>
      <c r="K23" s="86" t="s">
        <v>20</v>
      </c>
      <c r="L23" s="87"/>
      <c r="M23" s="89"/>
      <c r="N23" s="56"/>
      <c r="O23" s="59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35">
      <c r="A24" s="81"/>
      <c r="B24" s="90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56"/>
      <c r="O24" s="59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35">
      <c r="A25" s="81"/>
      <c r="B25" s="21">
        <v>1</v>
      </c>
      <c r="C25" s="66" t="s">
        <v>49</v>
      </c>
      <c r="D25" s="72"/>
      <c r="E25" s="72"/>
      <c r="F25" s="92"/>
      <c r="G25" s="22">
        <v>35</v>
      </c>
      <c r="H25" s="22" t="s">
        <v>21</v>
      </c>
      <c r="I25" s="91">
        <v>750000</v>
      </c>
      <c r="J25" s="92"/>
      <c r="K25" s="107">
        <f>G25*I25</f>
        <v>26250000</v>
      </c>
      <c r="L25" s="72"/>
      <c r="M25" s="92"/>
      <c r="N25" s="56"/>
      <c r="O25" s="59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35">
      <c r="A26" s="81"/>
      <c r="B26" s="21"/>
      <c r="C26" s="28" t="s">
        <v>43</v>
      </c>
      <c r="D26" s="52"/>
      <c r="E26" s="52"/>
      <c r="F26" s="53"/>
      <c r="G26" s="22"/>
      <c r="H26" s="22"/>
      <c r="I26" s="111"/>
      <c r="J26" s="92"/>
      <c r="K26" s="112"/>
      <c r="L26" s="113"/>
      <c r="M26" s="114"/>
      <c r="N26" s="56"/>
      <c r="O26" s="59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35">
      <c r="A27" s="81"/>
      <c r="B27" s="21"/>
      <c r="C27" s="28" t="s">
        <v>44</v>
      </c>
      <c r="D27" s="17"/>
      <c r="E27" s="17"/>
      <c r="F27" s="29"/>
      <c r="G27" s="22"/>
      <c r="H27" s="22"/>
      <c r="I27" s="23"/>
      <c r="J27" s="24"/>
      <c r="K27" s="25"/>
      <c r="L27" s="26"/>
      <c r="M27" s="27"/>
      <c r="N27" s="56"/>
      <c r="O27" s="59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35">
      <c r="A28" s="81"/>
      <c r="B28" s="21"/>
      <c r="C28" s="28"/>
      <c r="D28" s="17"/>
      <c r="E28" s="17"/>
      <c r="F28" s="29"/>
      <c r="G28" s="22"/>
      <c r="H28" s="22"/>
      <c r="I28" s="23"/>
      <c r="J28" s="24"/>
      <c r="K28" s="25"/>
      <c r="L28" s="26"/>
      <c r="M28" s="27"/>
      <c r="N28" s="56"/>
      <c r="O28" s="59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35">
      <c r="A29" s="81"/>
      <c r="B29" s="30"/>
      <c r="C29" s="66"/>
      <c r="D29" s="72"/>
      <c r="E29" s="72"/>
      <c r="F29" s="92"/>
      <c r="G29" s="22"/>
      <c r="H29" s="22"/>
      <c r="I29" s="31"/>
      <c r="J29" s="32"/>
      <c r="K29" s="33"/>
      <c r="L29" s="34"/>
      <c r="M29" s="35"/>
      <c r="N29" s="56"/>
      <c r="O29" s="59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thickBot="1" x14ac:dyDescent="0.4">
      <c r="A30" s="81"/>
      <c r="B30" s="79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56"/>
      <c r="O30" s="59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35">
      <c r="A31" s="81"/>
      <c r="B31" s="118" t="s">
        <v>22</v>
      </c>
      <c r="C31" s="61"/>
      <c r="D31" s="36" t="s">
        <v>7</v>
      </c>
      <c r="E31" s="128" t="s">
        <v>50</v>
      </c>
      <c r="F31" s="59"/>
      <c r="G31" s="59"/>
      <c r="H31" s="121"/>
      <c r="I31" s="69" t="s">
        <v>23</v>
      </c>
      <c r="J31" s="70"/>
      <c r="K31" s="37" t="s">
        <v>7</v>
      </c>
      <c r="L31" s="84">
        <f>SUM(K25:M26)</f>
        <v>26250000</v>
      </c>
      <c r="M31" s="85"/>
      <c r="N31" s="56"/>
      <c r="O31" s="59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thickBot="1" x14ac:dyDescent="0.4">
      <c r="A32" s="81"/>
      <c r="B32" s="4"/>
      <c r="C32" s="4"/>
      <c r="D32" s="4"/>
      <c r="E32" s="78"/>
      <c r="F32" s="78"/>
      <c r="G32" s="78"/>
      <c r="H32" s="56"/>
      <c r="I32" s="122" t="s">
        <v>24</v>
      </c>
      <c r="J32" s="113"/>
      <c r="K32" s="38" t="s">
        <v>7</v>
      </c>
      <c r="L32" s="123">
        <v>0</v>
      </c>
      <c r="M32" s="124"/>
      <c r="N32" s="56"/>
      <c r="O32" s="59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thickBot="1" x14ac:dyDescent="0.4">
      <c r="A33" s="81"/>
      <c r="B33" s="125"/>
      <c r="C33" s="72"/>
      <c r="D33" s="72"/>
      <c r="E33" s="72"/>
      <c r="F33" s="72"/>
      <c r="G33" s="72"/>
      <c r="H33" s="56"/>
      <c r="I33" s="126" t="s">
        <v>25</v>
      </c>
      <c r="J33" s="87"/>
      <c r="K33" s="39" t="s">
        <v>7</v>
      </c>
      <c r="L33" s="127">
        <f>L31+L32</f>
        <v>26250000</v>
      </c>
      <c r="M33" s="89"/>
      <c r="N33" s="56"/>
      <c r="O33" s="59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thickBot="1" x14ac:dyDescent="0.4">
      <c r="A34" s="81"/>
      <c r="B34" s="79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56"/>
      <c r="O34" s="59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thickBot="1" x14ac:dyDescent="0.4">
      <c r="A35" s="81"/>
      <c r="B35" s="105" t="s">
        <v>26</v>
      </c>
      <c r="C35" s="57"/>
      <c r="D35" s="129"/>
      <c r="E35" s="70"/>
      <c r="F35" s="70"/>
      <c r="G35" s="70"/>
      <c r="H35" s="79"/>
      <c r="I35" s="80" t="s">
        <v>27</v>
      </c>
      <c r="J35" s="70"/>
      <c r="K35" s="70"/>
      <c r="L35" s="70"/>
      <c r="M35" s="130"/>
      <c r="N35" s="56"/>
      <c r="O35" s="59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35">
      <c r="A36" s="81"/>
      <c r="B36" s="79"/>
      <c r="C36" s="61"/>
      <c r="D36" s="61"/>
      <c r="E36" s="61"/>
      <c r="F36" s="61"/>
      <c r="G36" s="61"/>
      <c r="H36" s="61"/>
      <c r="I36" s="41"/>
      <c r="J36" s="42"/>
      <c r="K36" s="42"/>
      <c r="L36" s="42"/>
      <c r="M36" s="43"/>
      <c r="N36" s="56"/>
      <c r="O36" s="59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35">
      <c r="A37" s="81"/>
      <c r="B37" s="93" t="s">
        <v>28</v>
      </c>
      <c r="C37" s="61"/>
      <c r="D37" s="4" t="s">
        <v>7</v>
      </c>
      <c r="E37" s="131" t="s">
        <v>45</v>
      </c>
      <c r="F37" s="59"/>
      <c r="G37" s="59"/>
      <c r="H37" s="61"/>
      <c r="I37" s="45"/>
      <c r="J37" s="4"/>
      <c r="K37" s="4"/>
      <c r="L37" s="4"/>
      <c r="M37" s="46"/>
      <c r="N37" s="56"/>
      <c r="O37" s="59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5">
      <c r="A38" s="81"/>
      <c r="B38" s="93" t="s">
        <v>29</v>
      </c>
      <c r="C38" s="61"/>
      <c r="D38" s="4" t="s">
        <v>7</v>
      </c>
      <c r="E38" s="132" t="s">
        <v>30</v>
      </c>
      <c r="F38" s="59"/>
      <c r="G38" s="59"/>
      <c r="H38" s="61"/>
      <c r="I38" s="45"/>
      <c r="J38" s="4"/>
      <c r="K38" s="4"/>
      <c r="L38" s="4"/>
      <c r="M38" s="46"/>
      <c r="N38" s="56"/>
      <c r="O38" s="59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35">
      <c r="A39" s="81"/>
      <c r="B39" s="93" t="s">
        <v>46</v>
      </c>
      <c r="C39" s="61"/>
      <c r="D39" s="4"/>
      <c r="E39" s="135" t="s">
        <v>31</v>
      </c>
      <c r="F39" s="59"/>
      <c r="G39" s="59"/>
      <c r="H39" s="61"/>
      <c r="I39" s="45"/>
      <c r="J39" s="4"/>
      <c r="K39" s="4"/>
      <c r="L39" s="4"/>
      <c r="M39" s="46"/>
      <c r="N39" s="56"/>
      <c r="O39" s="59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35">
      <c r="A40" s="81"/>
      <c r="B40" s="93" t="s">
        <v>32</v>
      </c>
      <c r="C40" s="61"/>
      <c r="D40" s="4"/>
      <c r="E40" s="131" t="s">
        <v>47</v>
      </c>
      <c r="F40" s="59"/>
      <c r="G40" s="59"/>
      <c r="H40" s="61"/>
      <c r="I40" s="45"/>
      <c r="J40" s="4"/>
      <c r="K40" s="4"/>
      <c r="L40" s="4"/>
      <c r="M40" s="46"/>
      <c r="N40" s="56"/>
      <c r="O40" s="59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35">
      <c r="A41" s="81"/>
      <c r="B41" s="93"/>
      <c r="C41" s="61"/>
      <c r="D41" s="4"/>
      <c r="E41" s="131"/>
      <c r="F41" s="59"/>
      <c r="G41" s="59"/>
      <c r="H41" s="48"/>
      <c r="I41" s="49"/>
      <c r="J41" s="50"/>
      <c r="K41" s="50"/>
      <c r="L41" s="50"/>
      <c r="M41" s="51"/>
      <c r="N41" s="56"/>
      <c r="O41" s="59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35">
      <c r="A42" s="81"/>
      <c r="B42" s="48"/>
      <c r="C42" s="48"/>
      <c r="D42" s="48"/>
      <c r="E42" s="48"/>
      <c r="F42" s="48"/>
      <c r="G42" s="48"/>
      <c r="H42" s="48"/>
      <c r="I42" s="71" t="s">
        <v>33</v>
      </c>
      <c r="J42" s="72"/>
      <c r="K42" s="72"/>
      <c r="L42" s="72"/>
      <c r="M42" s="73"/>
      <c r="N42" s="56"/>
      <c r="O42" s="59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thickBot="1" x14ac:dyDescent="0.4">
      <c r="A43" s="81"/>
      <c r="B43" s="48"/>
      <c r="C43" s="48"/>
      <c r="D43" s="48"/>
      <c r="E43" s="48"/>
      <c r="F43" s="48"/>
      <c r="G43" s="48"/>
      <c r="H43" s="48"/>
      <c r="I43" s="74" t="s">
        <v>34</v>
      </c>
      <c r="J43" s="133"/>
      <c r="K43" s="133"/>
      <c r="L43" s="133"/>
      <c r="M43" s="134"/>
      <c r="N43" s="56"/>
      <c r="O43" s="59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thickBot="1" x14ac:dyDescent="0.4">
      <c r="A44" s="82"/>
      <c r="B44" s="64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57"/>
      <c r="O44" s="59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</sheetData>
  <mergeCells count="80">
    <mergeCell ref="I42:M42"/>
    <mergeCell ref="I43:M43"/>
    <mergeCell ref="B44:M44"/>
    <mergeCell ref="B39:C39"/>
    <mergeCell ref="E39:G39"/>
    <mergeCell ref="B40:C40"/>
    <mergeCell ref="E40:G40"/>
    <mergeCell ref="B41:C41"/>
    <mergeCell ref="E41:G41"/>
    <mergeCell ref="B34:M34"/>
    <mergeCell ref="B35:C35"/>
    <mergeCell ref="D35:G35"/>
    <mergeCell ref="H35:H40"/>
    <mergeCell ref="I35:M35"/>
    <mergeCell ref="B36:G36"/>
    <mergeCell ref="B37:C37"/>
    <mergeCell ref="E37:G37"/>
    <mergeCell ref="B38:C38"/>
    <mergeCell ref="E38:G38"/>
    <mergeCell ref="B31:C31"/>
    <mergeCell ref="E31:G32"/>
    <mergeCell ref="H31:H33"/>
    <mergeCell ref="I31:J31"/>
    <mergeCell ref="L31:M31"/>
    <mergeCell ref="I32:J32"/>
    <mergeCell ref="L32:M32"/>
    <mergeCell ref="B33:G33"/>
    <mergeCell ref="I33:J33"/>
    <mergeCell ref="L33:M33"/>
    <mergeCell ref="I26:J26"/>
    <mergeCell ref="K26:M26"/>
    <mergeCell ref="C29:F29"/>
    <mergeCell ref="B30:M30"/>
    <mergeCell ref="C23:F23"/>
    <mergeCell ref="I23:J23"/>
    <mergeCell ref="K23:M23"/>
    <mergeCell ref="B24:M24"/>
    <mergeCell ref="C25:F25"/>
    <mergeCell ref="I25:J25"/>
    <mergeCell ref="K25:M25"/>
    <mergeCell ref="B22:M22"/>
    <mergeCell ref="E15:G15"/>
    <mergeCell ref="L15:M15"/>
    <mergeCell ref="L16:M16"/>
    <mergeCell ref="L17:M17"/>
    <mergeCell ref="E18:G18"/>
    <mergeCell ref="E19:G19"/>
    <mergeCell ref="I19:J19"/>
    <mergeCell ref="L19:M19"/>
    <mergeCell ref="B20:M20"/>
    <mergeCell ref="B21:C21"/>
    <mergeCell ref="E21:G21"/>
    <mergeCell ref="I21:J21"/>
    <mergeCell ref="L21:M21"/>
    <mergeCell ref="B10:C10"/>
    <mergeCell ref="E10:G10"/>
    <mergeCell ref="I10:J10"/>
    <mergeCell ref="L10:M10"/>
    <mergeCell ref="B13:M13"/>
    <mergeCell ref="B14:C14"/>
    <mergeCell ref="E14:G14"/>
    <mergeCell ref="H14:H19"/>
    <mergeCell ref="I14:J14"/>
    <mergeCell ref="L14:M14"/>
    <mergeCell ref="B9:M9"/>
    <mergeCell ref="A1:A44"/>
    <mergeCell ref="B1:D1"/>
    <mergeCell ref="N1:N44"/>
    <mergeCell ref="O1:O44"/>
    <mergeCell ref="J2:M3"/>
    <mergeCell ref="C4:I4"/>
    <mergeCell ref="J4:M4"/>
    <mergeCell ref="B5:I5"/>
    <mergeCell ref="J5:M5"/>
    <mergeCell ref="B6:M6"/>
    <mergeCell ref="B7:M7"/>
    <mergeCell ref="B8:C8"/>
    <mergeCell ref="D8:G8"/>
    <mergeCell ref="I8:J8"/>
    <mergeCell ref="K8:M8"/>
  </mergeCells>
  <hyperlinks>
    <hyperlink ref="E14" r:id="rId1" xr:uid="{00000000-0004-0000-0100-000000000000}"/>
  </hyperlinks>
  <pageMargins left="0.7" right="0.7" top="0.75" bottom="0.75" header="0.3" footer="0.3"/>
  <pageSetup paperSize="9" scale="7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Sheet3</vt:lpstr>
      <vt:lpstr>Sheet1!Print_Area</vt:lpstr>
      <vt:lpstr>Sheet3!Print_Area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SBMITB</dc:creator>
  <cp:lastModifiedBy>Puji Novitasari</cp:lastModifiedBy>
  <cp:lastPrinted>2026-01-05T01:37:09Z</cp:lastPrinted>
  <dcterms:created xsi:type="dcterms:W3CDTF">2025-02-07T01:09:35Z</dcterms:created>
  <dcterms:modified xsi:type="dcterms:W3CDTF">2026-07-27T07:46:41Z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2026-07-27T07:46:41Z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88c84274-77cc-49ca-9515-0890466f551c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